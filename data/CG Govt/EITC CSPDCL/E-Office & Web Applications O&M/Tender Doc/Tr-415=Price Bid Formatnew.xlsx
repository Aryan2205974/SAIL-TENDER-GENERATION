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1. Work\Lumbini Elite\3. Tenders\GeM Portal\EITC CSPDCL\E-Office &amp; Web Applications O&amp;M\Tender Doc\"/>
    </mc:Choice>
  </mc:AlternateContent>
  <xr:revisionPtr revIDLastSave="0" documentId="13_ncr:1_{7FA2C224-DF48-4A6A-ACE2-F6AFB6DB0F76}" xr6:coauthVersionLast="47" xr6:coauthVersionMax="47" xr10:uidLastSave="{00000000-0000-0000-0000-000000000000}"/>
  <workbookProtection workbookAlgorithmName="SHA-512" workbookHashValue="X1LgnSgbnjOZ9S/tPoS1QtsFHcGViaV+AJFg5a1YqTK7+UzOQelKjo7/k5RvC0diI5Q5YiZBveiNgaA8XSX03A==" workbookSaltValue="ytAND0VOxCwk8T5NB+KGVA==" workbookSpinCount="100000" lockStructure="1"/>
  <bookViews>
    <workbookView xWindow="-110" yWindow="-110" windowWidth="19420" windowHeight="10300" tabRatio="757" activeTab="1" xr2:uid="{00000000-000D-0000-FFFF-FFFF00000000}"/>
  </bookViews>
  <sheets>
    <sheet name="Instructions" sheetId="7" r:id="rId1"/>
    <sheet name="Rate-Fill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5" l="1"/>
  <c r="F12" i="5"/>
  <c r="G10" i="5"/>
  <c r="H10" i="5"/>
  <c r="G11" i="5"/>
  <c r="H11" i="5"/>
  <c r="F6" i="5"/>
  <c r="F5" i="5"/>
  <c r="E7" i="5"/>
  <c r="H9" i="5"/>
  <c r="G9" i="5"/>
  <c r="F7" i="5" l="1"/>
  <c r="G12" i="5"/>
  <c r="H12" i="5"/>
  <c r="I9" i="5" l="1"/>
  <c r="G6" i="5" l="1"/>
  <c r="I11" i="5" l="1"/>
  <c r="I10" i="5"/>
  <c r="H6" i="5"/>
  <c r="I6" i="5" s="1"/>
  <c r="G5" i="5"/>
  <c r="G7" i="5" s="1"/>
  <c r="I12" i="5" l="1"/>
  <c r="H5" i="5"/>
  <c r="H7" i="5" l="1"/>
  <c r="I5" i="5"/>
  <c r="I7" i="5" s="1"/>
  <c r="C18" i="5" s="1"/>
  <c r="F18" i="5" l="1"/>
  <c r="H18" i="5" s="1"/>
  <c r="C3" i="7"/>
  <c r="C4" i="7" l="1"/>
  <c r="C5" i="7" s="1"/>
  <c r="C6" i="7" s="1"/>
  <c r="C7" i="7" s="1"/>
</calcChain>
</file>

<file path=xl/sharedStrings.xml><?xml version="1.0" encoding="utf-8"?>
<sst xmlns="http://schemas.openxmlformats.org/spreadsheetml/2006/main" count="49" uniqueCount="45">
  <si>
    <t>Description</t>
  </si>
  <si>
    <t>5=(3x4)</t>
  </si>
  <si>
    <t>6=(3+5)</t>
  </si>
  <si>
    <t>C</t>
  </si>
  <si>
    <t>GST (%)</t>
  </si>
  <si>
    <t>GST (In Rs.)</t>
  </si>
  <si>
    <t>Total Cost with GST</t>
  </si>
  <si>
    <t>Quantity</t>
  </si>
  <si>
    <t>SN</t>
  </si>
  <si>
    <t>Instructions for Filling Price Bid in Excel &amp; SAP E-Bidding Portal</t>
  </si>
  <si>
    <t>Applicable Tax/GST in Percentage is to be quoted (both in Excel file &amp; in Item Tab in SAP E-Bidding Portal)</t>
  </si>
  <si>
    <t>Total Cost w/o GST</t>
  </si>
  <si>
    <t>In case of any discrepancy in calculation; unit rates shall prevail and taken as correct value. Subsequently, 
actual amount shall be calculated based on the unit rates, so as to arrive at correct value.</t>
  </si>
  <si>
    <t>Total Cost For 
Year 1 
(without GST)</t>
  </si>
  <si>
    <t>Total Cost For 
Year 2
(without GST)</t>
  </si>
  <si>
    <t>Total Cost For 
Year 3 
(without GST)</t>
  </si>
  <si>
    <t>Total 3 years Amount 
without GST</t>
  </si>
  <si>
    <t>Unit Monthly 
Cost For 
(without GST)</t>
  </si>
  <si>
    <t>Annual 
Increment
(Wage Hike %)</t>
  </si>
  <si>
    <t>Web Application / 
Portal Developers</t>
  </si>
  <si>
    <t>e-Office Project 
Engineers</t>
  </si>
  <si>
    <t>Detailed Price Sheet</t>
  </si>
  <si>
    <t>Price Bid in SAP</t>
  </si>
  <si>
    <t>L-1 position of the Bidders shall be evaluated on the basis of Grand Total Amount 
(i.e. including all items &amp; taxes ).</t>
  </si>
  <si>
    <r>
      <t>Amount automatically populated (highlighted in Green) along with GST % in the Sheet &lt;</t>
    </r>
    <r>
      <rPr>
        <b/>
        <i/>
        <u/>
        <sz val="14"/>
        <color theme="1"/>
        <rFont val="Verdana"/>
        <family val="2"/>
      </rPr>
      <t>Rate-Fill</t>
    </r>
    <r>
      <rPr>
        <sz val="14"/>
        <color theme="1"/>
        <rFont val="Verdana"/>
        <family val="2"/>
      </rPr>
      <t xml:space="preserve">&gt; needs to be filled in Item Tab in SAP E-Bidding Portal. </t>
    </r>
  </si>
  <si>
    <r>
      <t xml:space="preserve">This Excel file - "Tr-415 Price Bid Format" has to be uploaded in SAP e-bidding portal under - 
</t>
    </r>
    <r>
      <rPr>
        <b/>
        <i/>
        <sz val="14"/>
        <color theme="1"/>
        <rFont val="Verdana"/>
        <family val="2"/>
      </rPr>
      <t>Rfx Information-&gt;Notes and Attachment-&gt;Attachment for Price bid</t>
    </r>
  </si>
  <si>
    <t>A</t>
  </si>
  <si>
    <t>B</t>
  </si>
  <si>
    <t>D</t>
  </si>
  <si>
    <t>E</t>
  </si>
  <si>
    <t>F=(C*D*12)</t>
  </si>
  <si>
    <t>G=(F+(F*E%))</t>
  </si>
  <si>
    <t>H=(G+(G*E%))</t>
  </si>
  <si>
    <t>I=(F+G+H)</t>
  </si>
  <si>
    <t>[I]</t>
  </si>
  <si>
    <t>Manpower</t>
  </si>
  <si>
    <t>[II]</t>
  </si>
  <si>
    <t>Annual Subscription for Figma Professional Licenses</t>
  </si>
  <si>
    <t>Collab Seat - Annual Subscription for Figma Professional Lic.</t>
  </si>
  <si>
    <t>Dev Seat - Annual Subscription for Figma Professional Lic.</t>
  </si>
  <si>
    <t>Full Seat - Annual Subscription for Figma Professional Lic.</t>
  </si>
  <si>
    <t xml:space="preserve">Total Manpower Amount (excluding GST) </t>
  </si>
  <si>
    <t xml:space="preserve">Total Figma Subscription (excluding GST) </t>
  </si>
  <si>
    <t>Grand Total Amount  (To be filled in SAP)</t>
  </si>
  <si>
    <r>
      <rPr>
        <b/>
        <i/>
        <u/>
        <sz val="14"/>
        <color rgb="FFFF0000"/>
        <rFont val="Verdana"/>
        <family val="2"/>
      </rPr>
      <t>Price Bid to be filled by Bidder :</t>
    </r>
    <r>
      <rPr>
        <sz val="14"/>
        <color theme="1"/>
        <rFont val="Verdana"/>
        <family val="2"/>
      </rPr>
      <t xml:space="preserve">
Bidder needs to fill all the cells in sheets highlighted in Red colour. </t>
    </r>
    <r>
      <rPr>
        <u/>
        <sz val="14"/>
        <color theme="1"/>
        <rFont val="Verdana"/>
        <family val="2"/>
      </rPr>
      <t xml:space="preserve">
</t>
    </r>
    <r>
      <rPr>
        <sz val="14"/>
        <color theme="1"/>
        <rFont val="Verdana"/>
        <family val="2"/>
      </rPr>
      <t>Ensure that sheet must show "</t>
    </r>
    <r>
      <rPr>
        <b/>
        <sz val="14"/>
        <color rgb="FF00B050"/>
        <rFont val="Verdana"/>
        <family val="2"/>
      </rPr>
      <t>All values are filled and Bid is OK</t>
    </r>
    <r>
      <rPr>
        <b/>
        <sz val="14"/>
        <color theme="1"/>
        <rFont val="Verdana"/>
        <family val="2"/>
      </rPr>
      <t>"</t>
    </r>
    <r>
      <rPr>
        <sz val="14"/>
        <color theme="1"/>
        <rFont val="Verdana"/>
        <family val="2"/>
      </rPr>
      <t xml:space="preserve"> and the red color is removed from all the cells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</si>
</sst>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1"/>
      <color theme="1"/>
      <name val="Verdana"/>
      <family val="2"/>
    </font>
    <font>
      <sz val="14"/>
      <color theme="1"/>
      <name val="Verdana"/>
      <family val="2"/>
    </font>
    <font>
      <b/>
      <sz val="14"/>
      <color rgb="FF000000"/>
      <name val="Verdana"/>
      <family val="2"/>
    </font>
    <font>
      <b/>
      <sz val="16"/>
      <color rgb="FF000000"/>
      <name val="Verdana"/>
      <family val="2"/>
    </font>
    <font>
      <b/>
      <u/>
      <sz val="14"/>
      <color theme="1"/>
      <name val="Verdana"/>
      <family val="2"/>
    </font>
    <font>
      <b/>
      <i/>
      <u/>
      <sz val="14"/>
      <color rgb="FFFF0000"/>
      <name val="Verdana"/>
      <family val="2"/>
    </font>
    <font>
      <u/>
      <sz val="14"/>
      <color theme="1"/>
      <name val="Verdana"/>
      <family val="2"/>
    </font>
    <font>
      <b/>
      <sz val="14"/>
      <color theme="1"/>
      <name val="Verdana"/>
      <family val="2"/>
    </font>
    <font>
      <b/>
      <i/>
      <u/>
      <sz val="14"/>
      <color theme="1"/>
      <name val="Verdana"/>
      <family val="2"/>
    </font>
    <font>
      <b/>
      <i/>
      <sz val="14"/>
      <color theme="1"/>
      <name val="Verdana"/>
      <family val="2"/>
    </font>
    <font>
      <b/>
      <sz val="16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Verdana"/>
      <family val="2"/>
    </font>
    <font>
      <b/>
      <i/>
      <sz val="14"/>
      <color rgb="FF000000"/>
      <name val="Verdana"/>
      <family val="2"/>
    </font>
    <font>
      <b/>
      <sz val="11"/>
      <color theme="1"/>
      <name val="Verdana"/>
      <family val="2"/>
    </font>
    <font>
      <b/>
      <sz val="14"/>
      <color rgb="FF00B05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3">
    <xf numFmtId="0" fontId="0" fillId="0" borderId="0" xfId="0"/>
    <xf numFmtId="3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3" fontId="0" fillId="0" borderId="0" xfId="0" applyNumberFormat="1"/>
    <xf numFmtId="1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2" fontId="16" fillId="6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/>
    <xf numFmtId="0" fontId="15" fillId="2" borderId="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3" fontId="17" fillId="0" borderId="0" xfId="0" applyNumberFormat="1" applyFont="1"/>
    <xf numFmtId="0" fontId="7" fillId="4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 indent="1"/>
    </xf>
    <xf numFmtId="0" fontId="2" fillId="2" borderId="12" xfId="0" applyFont="1" applyFill="1" applyBorder="1" applyAlignment="1">
      <alignment horizontal="left" vertical="center" wrapText="1" indent="1"/>
    </xf>
    <xf numFmtId="0" fontId="2" fillId="2" borderId="13" xfId="0" applyFont="1" applyFill="1" applyBorder="1" applyAlignment="1">
      <alignment horizontal="left" vertical="center" wrapText="1" inden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4" fontId="13" fillId="0" borderId="2" xfId="1" applyNumberFormat="1" applyFont="1" applyBorder="1" applyAlignment="1" applyProtection="1">
      <alignment horizontal="center" vertical="center" wrapText="1"/>
    </xf>
    <xf numFmtId="4" fontId="13" fillId="0" borderId="0" xfId="1" applyNumberFormat="1" applyFont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3" fontId="16" fillId="6" borderId="14" xfId="0" applyNumberFormat="1" applyFont="1" applyFill="1" applyBorder="1" applyAlignment="1">
      <alignment horizontal="center" vertical="center" wrapText="1"/>
    </xf>
    <xf numFmtId="3" fontId="16" fillId="6" borderId="15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" fontId="16" fillId="2" borderId="9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164" fontId="16" fillId="2" borderId="9" xfId="0" applyNumberFormat="1" applyFont="1" applyFill="1" applyBorder="1" applyAlignment="1">
      <alignment horizontal="center" vertical="center" wrapText="1"/>
    </xf>
    <xf numFmtId="4" fontId="16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view="pageBreakPreview" topLeftCell="C4" zoomScaleNormal="100" zoomScaleSheetLayoutView="100" workbookViewId="0">
      <selection activeCell="D8" sqref="D8"/>
    </sheetView>
  </sheetViews>
  <sheetFormatPr defaultColWidth="117.26953125" defaultRowHeight="68.25" customHeight="1" x14ac:dyDescent="0.35"/>
  <cols>
    <col min="1" max="2" width="14.81640625" hidden="1" customWidth="1"/>
    <col min="3" max="3" width="7.54296875" customWidth="1"/>
    <col min="4" max="4" width="169.1796875" customWidth="1"/>
  </cols>
  <sheetData>
    <row r="1" spans="3:4" ht="52.5" customHeight="1" x14ac:dyDescent="0.35">
      <c r="C1" s="20" t="s">
        <v>9</v>
      </c>
      <c r="D1" s="20"/>
    </row>
    <row r="2" spans="3:4" ht="68.25" customHeight="1" x14ac:dyDescent="0.35">
      <c r="C2" s="2">
        <v>1</v>
      </c>
      <c r="D2" s="3" t="s">
        <v>23</v>
      </c>
    </row>
    <row r="3" spans="3:4" ht="68.25" customHeight="1" x14ac:dyDescent="0.35">
      <c r="C3" s="2">
        <f>C2+1</f>
        <v>2</v>
      </c>
      <c r="D3" s="3" t="s">
        <v>44</v>
      </c>
    </row>
    <row r="4" spans="3:4" ht="68.25" customHeight="1" x14ac:dyDescent="0.35">
      <c r="C4" s="2">
        <f>C3+1</f>
        <v>3</v>
      </c>
      <c r="D4" s="3" t="s">
        <v>24</v>
      </c>
    </row>
    <row r="5" spans="3:4" ht="68.25" customHeight="1" x14ac:dyDescent="0.35">
      <c r="C5" s="2">
        <f t="shared" ref="C5:C7" si="0">C4+1</f>
        <v>4</v>
      </c>
      <c r="D5" s="3" t="s">
        <v>25</v>
      </c>
    </row>
    <row r="6" spans="3:4" ht="68.25" customHeight="1" x14ac:dyDescent="0.35">
      <c r="C6" s="2">
        <f t="shared" si="0"/>
        <v>5</v>
      </c>
      <c r="D6" s="3" t="s">
        <v>10</v>
      </c>
    </row>
    <row r="7" spans="3:4" ht="68.25" customHeight="1" x14ac:dyDescent="0.35">
      <c r="C7" s="2">
        <f t="shared" si="0"/>
        <v>6</v>
      </c>
      <c r="D7" s="3" t="s">
        <v>12</v>
      </c>
    </row>
    <row r="9" spans="3:4" ht="68.25" customHeight="1" x14ac:dyDescent="0.35">
      <c r="D9" s="4"/>
    </row>
  </sheetData>
  <sheetProtection algorithmName="SHA-512" hashValue="EhcFnvMvVzPAIoU/TJxbdNSI7YcsLLrbJqfruCk3BbKQRasTKw53LGzCG5t79bHmU1p+UiZMcicCevoRLLej+w==" saltValue="wbG8H71yMiQ+/pxp9MCGng==" spinCount="100000" sheet="1" selectLockedCells="1" selectUnlockedCells="1"/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K20"/>
  <sheetViews>
    <sheetView tabSelected="1" topLeftCell="D16" zoomScaleNormal="100" workbookViewId="0">
      <selection activeCell="D5" sqref="D5"/>
    </sheetView>
  </sheetViews>
  <sheetFormatPr defaultColWidth="8.7265625" defaultRowHeight="13.5" x14ac:dyDescent="0.25"/>
  <cols>
    <col min="1" max="1" width="11.81640625" style="7" customWidth="1"/>
    <col min="2" max="2" width="29.26953125" style="7" bestFit="1" customWidth="1"/>
    <col min="3" max="3" width="25.26953125" style="7" customWidth="1"/>
    <col min="4" max="4" width="19.54296875" style="7" customWidth="1"/>
    <col min="5" max="5" width="11.81640625" style="7" customWidth="1"/>
    <col min="6" max="9" width="28.81640625" style="7" customWidth="1"/>
    <col min="10" max="10" width="8.7265625" style="7"/>
    <col min="11" max="11" width="32" style="7" customWidth="1"/>
    <col min="12" max="16384" width="8.7265625" style="7"/>
  </cols>
  <sheetData>
    <row r="1" spans="1:11" ht="35.25" customHeight="1" x14ac:dyDescent="0.25">
      <c r="A1" s="29" t="s">
        <v>21</v>
      </c>
      <c r="B1" s="29"/>
      <c r="C1" s="29"/>
      <c r="D1" s="29"/>
      <c r="E1" s="29"/>
      <c r="F1" s="29"/>
      <c r="G1" s="29"/>
      <c r="H1" s="29"/>
      <c r="I1" s="29"/>
    </row>
    <row r="2" spans="1:11" s="8" customFormat="1" ht="69.75" customHeight="1" x14ac:dyDescent="0.3">
      <c r="A2" s="15" t="s">
        <v>8</v>
      </c>
      <c r="B2" s="15" t="s">
        <v>0</v>
      </c>
      <c r="C2" s="15" t="s">
        <v>17</v>
      </c>
      <c r="D2" s="15" t="s">
        <v>18</v>
      </c>
      <c r="E2" s="15" t="s">
        <v>7</v>
      </c>
      <c r="F2" s="15" t="s">
        <v>13</v>
      </c>
      <c r="G2" s="15" t="s">
        <v>14</v>
      </c>
      <c r="H2" s="15" t="s">
        <v>15</v>
      </c>
      <c r="I2" s="15" t="s">
        <v>16</v>
      </c>
    </row>
    <row r="3" spans="1:11" s="8" customFormat="1" ht="35.25" customHeight="1" x14ac:dyDescent="0.3">
      <c r="A3" s="15" t="s">
        <v>26</v>
      </c>
      <c r="B3" s="15" t="s">
        <v>27</v>
      </c>
      <c r="C3" s="15" t="s">
        <v>28</v>
      </c>
      <c r="D3" s="15" t="s">
        <v>29</v>
      </c>
      <c r="E3" s="15" t="s">
        <v>3</v>
      </c>
      <c r="F3" s="15" t="s">
        <v>30</v>
      </c>
      <c r="G3" s="15" t="s">
        <v>31</v>
      </c>
      <c r="H3" s="15" t="s">
        <v>32</v>
      </c>
      <c r="I3" s="15" t="s">
        <v>33</v>
      </c>
    </row>
    <row r="4" spans="1:11" s="8" customFormat="1" ht="35.25" customHeight="1" x14ac:dyDescent="0.3">
      <c r="A4" s="15" t="s">
        <v>34</v>
      </c>
      <c r="B4" s="40" t="s">
        <v>35</v>
      </c>
      <c r="C4" s="41"/>
      <c r="D4" s="41"/>
      <c r="E4" s="41"/>
      <c r="F4" s="41"/>
      <c r="G4" s="41"/>
      <c r="H4" s="41"/>
      <c r="I4" s="42"/>
    </row>
    <row r="5" spans="1:11" ht="35.15" customHeight="1" x14ac:dyDescent="0.25">
      <c r="A5" s="15">
        <v>1</v>
      </c>
      <c r="B5" s="9" t="s">
        <v>19</v>
      </c>
      <c r="C5" s="1">
        <v>100000</v>
      </c>
      <c r="D5" s="5">
        <v>6</v>
      </c>
      <c r="E5" s="15">
        <v>3</v>
      </c>
      <c r="F5" s="10">
        <f>C5*E5*12</f>
        <v>3600000</v>
      </c>
      <c r="G5" s="10">
        <f>F5*(1+D5/100)</f>
        <v>3816000</v>
      </c>
      <c r="H5" s="10">
        <f>G5*(1+D5/100)</f>
        <v>4044960</v>
      </c>
      <c r="I5" s="10">
        <f>SUM(F5:H5)</f>
        <v>11460960</v>
      </c>
      <c r="K5" s="11"/>
    </row>
    <row r="6" spans="1:11" ht="35.15" customHeight="1" x14ac:dyDescent="0.25">
      <c r="A6" s="15">
        <v>2</v>
      </c>
      <c r="B6" s="9" t="s">
        <v>20</v>
      </c>
      <c r="C6" s="1">
        <v>52500</v>
      </c>
      <c r="D6" s="5">
        <v>6</v>
      </c>
      <c r="E6" s="15">
        <v>3</v>
      </c>
      <c r="F6" s="10">
        <f t="shared" ref="F6" si="0">C6*E6*12</f>
        <v>1890000</v>
      </c>
      <c r="G6" s="10">
        <f>F6*(1+D6/100)</f>
        <v>2003400</v>
      </c>
      <c r="H6" s="10">
        <f>G6*(1+D6/100)</f>
        <v>2123604</v>
      </c>
      <c r="I6" s="10">
        <f t="shared" ref="I6:I11" si="1">SUM(F6:H6)</f>
        <v>6017004</v>
      </c>
      <c r="K6" s="11"/>
    </row>
    <row r="7" spans="1:11" s="18" customFormat="1" ht="35.25" customHeight="1" x14ac:dyDescent="0.25">
      <c r="A7" s="16" t="s">
        <v>34</v>
      </c>
      <c r="B7" s="24" t="s">
        <v>41</v>
      </c>
      <c r="C7" s="25"/>
      <c r="D7" s="26"/>
      <c r="E7" s="17">
        <f t="shared" ref="E7:F7" si="2">SUM(E5:E6)</f>
        <v>6</v>
      </c>
      <c r="F7" s="17">
        <f t="shared" si="2"/>
        <v>5490000</v>
      </c>
      <c r="G7" s="17">
        <f t="shared" ref="G7:I7" si="3">SUM(G5:G6)</f>
        <v>5819400</v>
      </c>
      <c r="H7" s="17">
        <f t="shared" si="3"/>
        <v>6168564</v>
      </c>
      <c r="I7" s="17">
        <f t="shared" si="3"/>
        <v>17477964</v>
      </c>
      <c r="K7" s="19"/>
    </row>
    <row r="8" spans="1:11" s="8" customFormat="1" ht="35.25" customHeight="1" x14ac:dyDescent="0.3">
      <c r="A8" s="15" t="s">
        <v>36</v>
      </c>
      <c r="B8" s="40" t="s">
        <v>37</v>
      </c>
      <c r="C8" s="41"/>
      <c r="D8" s="41"/>
      <c r="E8" s="41"/>
      <c r="F8" s="41"/>
      <c r="G8" s="41"/>
      <c r="H8" s="41"/>
      <c r="I8" s="42"/>
    </row>
    <row r="9" spans="1:11" ht="35.15" customHeight="1" x14ac:dyDescent="0.3">
      <c r="A9" s="15">
        <v>1</v>
      </c>
      <c r="B9" s="21" t="s">
        <v>38</v>
      </c>
      <c r="C9" s="22"/>
      <c r="D9" s="23"/>
      <c r="E9" s="15">
        <v>2</v>
      </c>
      <c r="F9" s="1">
        <v>7200</v>
      </c>
      <c r="G9" s="10">
        <f>F9</f>
        <v>7200</v>
      </c>
      <c r="H9" s="10">
        <f>F9</f>
        <v>7200</v>
      </c>
      <c r="I9" s="10">
        <f t="shared" ref="I9" si="4">SUM(F9:H9)</f>
        <v>21600</v>
      </c>
      <c r="K9" s="8"/>
    </row>
    <row r="10" spans="1:11" ht="35.15" customHeight="1" x14ac:dyDescent="0.3">
      <c r="A10" s="15">
        <v>2</v>
      </c>
      <c r="B10" s="21" t="s">
        <v>39</v>
      </c>
      <c r="C10" s="22"/>
      <c r="D10" s="23"/>
      <c r="E10" s="15">
        <v>2</v>
      </c>
      <c r="F10" s="1">
        <v>28800</v>
      </c>
      <c r="G10" s="10">
        <f t="shared" ref="G10:G11" si="5">F10</f>
        <v>28800</v>
      </c>
      <c r="H10" s="10">
        <f t="shared" ref="H10:H11" si="6">F10</f>
        <v>28800</v>
      </c>
      <c r="I10" s="10">
        <f t="shared" si="1"/>
        <v>86400</v>
      </c>
      <c r="K10" s="8"/>
    </row>
    <row r="11" spans="1:11" ht="35.15" customHeight="1" x14ac:dyDescent="0.3">
      <c r="A11" s="15">
        <v>3</v>
      </c>
      <c r="B11" s="21" t="s">
        <v>40</v>
      </c>
      <c r="C11" s="22"/>
      <c r="D11" s="23"/>
      <c r="E11" s="15">
        <v>1</v>
      </c>
      <c r="F11" s="1">
        <v>19200</v>
      </c>
      <c r="G11" s="10">
        <f t="shared" si="5"/>
        <v>19200</v>
      </c>
      <c r="H11" s="10">
        <f t="shared" si="6"/>
        <v>19200</v>
      </c>
      <c r="I11" s="10">
        <f t="shared" si="1"/>
        <v>57600</v>
      </c>
      <c r="K11" s="8"/>
    </row>
    <row r="12" spans="1:11" ht="35.25" customHeight="1" x14ac:dyDescent="0.3">
      <c r="A12" s="16" t="s">
        <v>36</v>
      </c>
      <c r="B12" s="24" t="s">
        <v>42</v>
      </c>
      <c r="C12" s="25"/>
      <c r="D12" s="26"/>
      <c r="E12" s="10"/>
      <c r="F12" s="10">
        <f>SUM(F9:F11)</f>
        <v>55200</v>
      </c>
      <c r="G12" s="10">
        <f t="shared" ref="G12:I12" si="7">SUM(G9:G11)</f>
        <v>55200</v>
      </c>
      <c r="H12" s="10">
        <f t="shared" si="7"/>
        <v>55200</v>
      </c>
      <c r="I12" s="10">
        <f t="shared" si="7"/>
        <v>165600</v>
      </c>
      <c r="K12" s="8"/>
    </row>
    <row r="13" spans="1:11" ht="15" x14ac:dyDescent="0.3">
      <c r="K13" s="8"/>
    </row>
    <row r="14" spans="1:11" ht="14" thickBot="1" x14ac:dyDescent="0.3"/>
    <row r="15" spans="1:11" ht="20.25" customHeight="1" x14ac:dyDescent="0.25">
      <c r="A15" s="30" t="s">
        <v>43</v>
      </c>
      <c r="B15" s="31"/>
      <c r="C15" s="31"/>
      <c r="D15" s="31"/>
      <c r="E15" s="31"/>
      <c r="F15" s="31"/>
      <c r="G15" s="31"/>
      <c r="H15" s="31"/>
      <c r="I15" s="32"/>
    </row>
    <row r="16" spans="1:11" ht="60.75" customHeight="1" x14ac:dyDescent="0.25">
      <c r="A16" s="12" t="s">
        <v>8</v>
      </c>
      <c r="B16" s="16" t="s">
        <v>0</v>
      </c>
      <c r="C16" s="24" t="s">
        <v>11</v>
      </c>
      <c r="D16" s="26"/>
      <c r="E16" s="16" t="s">
        <v>4</v>
      </c>
      <c r="F16" s="35" t="s">
        <v>5</v>
      </c>
      <c r="G16" s="35"/>
      <c r="H16" s="35" t="s">
        <v>6</v>
      </c>
      <c r="I16" s="37"/>
    </row>
    <row r="17" spans="1:9" ht="21.75" customHeight="1" x14ac:dyDescent="0.25">
      <c r="A17" s="12">
        <v>1</v>
      </c>
      <c r="B17" s="16">
        <v>2</v>
      </c>
      <c r="C17" s="24">
        <v>3</v>
      </c>
      <c r="D17" s="26"/>
      <c r="E17" s="16">
        <v>4</v>
      </c>
      <c r="F17" s="35" t="s">
        <v>1</v>
      </c>
      <c r="G17" s="35"/>
      <c r="H17" s="35" t="s">
        <v>2</v>
      </c>
      <c r="I17" s="37"/>
    </row>
    <row r="18" spans="1:9" ht="60.75" customHeight="1" thickBot="1" x14ac:dyDescent="0.3">
      <c r="A18" s="13">
        <v>1</v>
      </c>
      <c r="B18" s="14" t="s">
        <v>22</v>
      </c>
      <c r="C18" s="33">
        <f>IF(COUNTIF(C5:D6,"")+COUNTIF(F9:F11,""),"Fill the sheet completely!",I7+I12)</f>
        <v>17643564</v>
      </c>
      <c r="D18" s="34"/>
      <c r="E18" s="6">
        <v>18</v>
      </c>
      <c r="F18" s="36">
        <f>C18*E18/100</f>
        <v>3175841.52</v>
      </c>
      <c r="G18" s="36"/>
      <c r="H18" s="38">
        <f>C18+F18</f>
        <v>20819405.52</v>
      </c>
      <c r="I18" s="39"/>
    </row>
    <row r="19" spans="1:9" ht="15" x14ac:dyDescent="0.3">
      <c r="A19" s="8"/>
      <c r="B19" s="8"/>
      <c r="C19" s="8"/>
      <c r="D19" s="8"/>
      <c r="E19" s="8"/>
      <c r="F19" s="8"/>
    </row>
    <row r="20" spans="1:9" ht="32.25" customHeight="1" x14ac:dyDescent="0.25">
      <c r="A20" s="27" t="str">
        <f>IF(COUNTIF(C5:D6,"")+COUNTIF(F9:F11,"")+COUNTIF(E18,""),"Please fill all the cells in the sheets highligthed with RED Colour","All values are filled and Bid is OK")</f>
        <v>All values are filled and Bid is OK</v>
      </c>
      <c r="B20" s="28"/>
      <c r="C20" s="28"/>
      <c r="D20" s="28"/>
      <c r="E20" s="28"/>
      <c r="F20" s="28"/>
      <c r="G20" s="28"/>
      <c r="H20" s="28"/>
      <c r="I20" s="28"/>
    </row>
  </sheetData>
  <sheetProtection algorithmName="SHA-512" hashValue="lYaanMT46jB7tSzICWrUMgGKygGA+U9MbwdLG3ejHxHrDaHewMVDyd+u4wK9PdNklIKdM4DO144ODo5+CKnR9Q==" saltValue="Ymdje+8Ug1biLV2QtAV6jw==" spinCount="100000" sheet="1" selectLockedCells="1"/>
  <dataConsolidate/>
  <mergeCells count="19">
    <mergeCell ref="A20:I20"/>
    <mergeCell ref="A1:I1"/>
    <mergeCell ref="A15:I15"/>
    <mergeCell ref="C16:D16"/>
    <mergeCell ref="C17:D17"/>
    <mergeCell ref="C18:D18"/>
    <mergeCell ref="F16:G16"/>
    <mergeCell ref="F18:G18"/>
    <mergeCell ref="F17:G17"/>
    <mergeCell ref="H16:I16"/>
    <mergeCell ref="H17:I17"/>
    <mergeCell ref="H18:I18"/>
    <mergeCell ref="B4:I4"/>
    <mergeCell ref="B8:I8"/>
    <mergeCell ref="B9:D9"/>
    <mergeCell ref="B10:D10"/>
    <mergeCell ref="B11:D11"/>
    <mergeCell ref="B7:D7"/>
    <mergeCell ref="B12:D12"/>
  </mergeCells>
  <conditionalFormatting sqref="A20">
    <cfRule type="containsText" dxfId="10" priority="12" operator="containsText" text="Invalid bid">
      <formula>NOT(ISERROR(SEARCH("Invalid bid",A20)))</formula>
    </cfRule>
    <cfRule type="containsText" dxfId="9" priority="13" operator="containsText" text="Bid is OK">
      <formula>NOT(ISERROR(SEARCH("Bid is OK",A20)))</formula>
    </cfRule>
    <cfRule type="containsText" dxfId="8" priority="14" operator="containsText" text="Amount is &lt;">
      <formula>NOT(ISERROR(SEARCH("Amount is &lt;",A20)))</formula>
    </cfRule>
    <cfRule type="containsText" dxfId="7" priority="15" operator="containsText" text="Please fill">
      <formula>NOT(ISERROR(SEARCH("Please fill",A20)))</formula>
    </cfRule>
  </conditionalFormatting>
  <conditionalFormatting sqref="C18">
    <cfRule type="expression" dxfId="6" priority="3">
      <formula>(#REF!+#REF!+#REF!)&lt;#REF!*0.2</formula>
    </cfRule>
    <cfRule type="containsText" dxfId="5" priority="10" operator="containsText" text="Fill">
      <formula>NOT(ISERROR(SEARCH("Fill",C18)))</formula>
    </cfRule>
    <cfRule type="cellIs" dxfId="4" priority="11" operator="lessThan">
      <formula>1</formula>
    </cfRule>
  </conditionalFormatting>
  <conditionalFormatting sqref="C5:D6">
    <cfRule type="cellIs" dxfId="3" priority="9" operator="equal">
      <formula>0</formula>
    </cfRule>
  </conditionalFormatting>
  <conditionalFormatting sqref="D5:D6">
    <cfRule type="cellIs" dxfId="2" priority="8" operator="equal">
      <formula>IF(AND(D5=0,ISBLANK(D5)),1,0)</formula>
    </cfRule>
  </conditionalFormatting>
  <conditionalFormatting sqref="E18">
    <cfRule type="cellIs" dxfId="1" priority="16" operator="equal">
      <formula>0</formula>
    </cfRule>
  </conditionalFormatting>
  <conditionalFormatting sqref="F9:F11">
    <cfRule type="cellIs" dxfId="0" priority="4" operator="equal">
      <formula>0</formula>
    </cfRule>
  </conditionalFormatting>
  <dataValidations xWindow="774" yWindow="452" count="4">
    <dataValidation type="decimal" operator="greaterThan" allowBlank="1" showInputMessage="1" showErrorMessage="1" errorTitle="Enter GST %" error="Enter Numeric Decimal Value." promptTitle="Enter GST %" prompt="Enter Numeric Decimal Value." sqref="E18" xr:uid="{00000000-0002-0000-0100-000000000000}">
      <formula1>0</formula1>
    </dataValidation>
    <dataValidation type="whole" operator="greaterThanOrEqual" allowBlank="1" showInputMessage="1" showErrorMessage="1" errorTitle="Check Value" error="Please enter value in whole number format (&gt;=1)" promptTitle="Enter Value" prompt="Please enter value in whole number format." sqref="F9:F11 C5:C6" xr:uid="{00000000-0002-0000-0100-000001000000}">
      <formula1>1</formula1>
    </dataValidation>
    <dataValidation type="whole" showInputMessage="1" showErrorMessage="1" errorTitle="Error" error="Please enter value in whole number format . Allowed values (3-10)" promptTitle="Enter Value" prompt="Please enter value in whole number format. Allowed values (3-10)" sqref="D5:D6" xr:uid="{00000000-0002-0000-0100-000002000000}">
      <formula1>3</formula1>
      <formula2>10</formula2>
    </dataValidation>
    <dataValidation allowBlank="1" sqref="F12:I12 E7:I7 F5:H6 G9:H11" xr:uid="{00000000-0002-0000-0100-00000300000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Rate-Fill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Tuli</dc:creator>
  <cp:lastModifiedBy>Suyash Kumar Dewangan</cp:lastModifiedBy>
  <dcterms:created xsi:type="dcterms:W3CDTF">2015-06-05T18:17:20Z</dcterms:created>
  <dcterms:modified xsi:type="dcterms:W3CDTF">2026-03-10T16:26:19Z</dcterms:modified>
</cp:coreProperties>
</file>